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nnis Tournament Spreadsheet P" sheetId="1" r:id="rId5"/>
  </sheets>
  <definedNames/>
  <calcPr/>
</workbook>
</file>

<file path=xl/sharedStrings.xml><?xml version="1.0" encoding="utf-8"?>
<sst xmlns="http://schemas.openxmlformats.org/spreadsheetml/2006/main" count="149" uniqueCount="94">
  <si>
    <t>MATCH #</t>
  </si>
  <si>
    <t>STAGE</t>
  </si>
  <si>
    <t>GROUP</t>
  </si>
  <si>
    <t>TEAM 1</t>
  </si>
  <si>
    <t>TEAM 2</t>
  </si>
  <si>
    <t>TIME</t>
  </si>
  <si>
    <t>OVERS</t>
  </si>
  <si>
    <t>WINNER</t>
  </si>
  <si>
    <t>League</t>
  </si>
  <si>
    <t>A</t>
  </si>
  <si>
    <t>Team A1</t>
  </si>
  <si>
    <t>Team A2</t>
  </si>
  <si>
    <t>Team A3</t>
  </si>
  <si>
    <t>Team A4</t>
  </si>
  <si>
    <t>B</t>
  </si>
  <si>
    <t>Team B1</t>
  </si>
  <si>
    <t>Team B2</t>
  </si>
  <si>
    <t>Team B3</t>
  </si>
  <si>
    <t>Team B4</t>
  </si>
  <si>
    <t>C</t>
  </si>
  <si>
    <t>Team C1</t>
  </si>
  <si>
    <t>Team C2</t>
  </si>
  <si>
    <t>Team C3</t>
  </si>
  <si>
    <t>Team C4</t>
  </si>
  <si>
    <t>D</t>
  </si>
  <si>
    <t>Team D1</t>
  </si>
  <si>
    <t>Team D2</t>
  </si>
  <si>
    <t>Team D3</t>
  </si>
  <si>
    <t>Team D4</t>
  </si>
  <si>
    <t>---</t>
  </si>
  <si>
    <t>QUARTER 1</t>
  </si>
  <si>
    <t>QF</t>
  </si>
  <si>
    <t>Winner Grp A</t>
  </si>
  <si>
    <t>Runner-up Grp B</t>
  </si>
  <si>
    <t>Day 2 - 09 AM</t>
  </si>
  <si>
    <t>QUARTER 2</t>
  </si>
  <si>
    <t>Winner Grp C</t>
  </si>
  <si>
    <t>Runner-up Grp D</t>
  </si>
  <si>
    <t>Day 2 - 10 AM</t>
  </si>
  <si>
    <t>QUARTER 3</t>
  </si>
  <si>
    <t>Winner Grp B</t>
  </si>
  <si>
    <t>Runner-up Grp A</t>
  </si>
  <si>
    <t>Day 2 - 11 AM</t>
  </si>
  <si>
    <t>QUARTER 4</t>
  </si>
  <si>
    <t>Winner Grp D</t>
  </si>
  <si>
    <t>Runner-up Grp C</t>
  </si>
  <si>
    <t>Day 2 - 12 PM</t>
  </si>
  <si>
    <t>SEMI 1</t>
  </si>
  <si>
    <t>SF</t>
  </si>
  <si>
    <t>Winner QF 1</t>
  </si>
  <si>
    <t>Winner QF 2</t>
  </si>
  <si>
    <t>Day 2 - 02 PM</t>
  </si>
  <si>
    <t>SEMI 2</t>
  </si>
  <si>
    <t>Winner QF 3</t>
  </si>
  <si>
    <t>Winner QF 4</t>
  </si>
  <si>
    <t>Day 2 - 03 PM</t>
  </si>
  <si>
    <t>FINAL</t>
  </si>
  <si>
    <t>Winner SF 1</t>
  </si>
  <si>
    <t>Winner SF 2</t>
  </si>
  <si>
    <t>Day 2 - 05 PM</t>
  </si>
  <si>
    <t>Category</t>
  </si>
  <si>
    <t>Details</t>
  </si>
  <si>
    <t>Total Match Count</t>
  </si>
  <si>
    <t>23 Matches</t>
  </si>
  <si>
    <t>Guaranteed Matches</t>
  </si>
  <si>
    <t>2 Matches per team</t>
  </si>
  <si>
    <t>Time per Match</t>
  </si>
  <si>
    <t>60 Minutes (55 min play + 5 min toss)</t>
  </si>
  <si>
    <t>Bowling Limit</t>
  </si>
  <si>
    <t>Max 2 overs per bowler</t>
  </si>
  <si>
    <t>Powerplay</t>
  </si>
  <si>
    <t>First 2 overs</t>
  </si>
  <si>
    <t>Points System</t>
  </si>
  <si>
    <t>Win: 2 pts, Tie: 1 pt, Loss: 0 pts</t>
  </si>
  <si>
    <t>Tie-Breaker</t>
  </si>
  <si>
    <t>Net Run Rate (NRR)</t>
  </si>
  <si>
    <t>INCOME SOURCE</t>
  </si>
  <si>
    <t>AMOUNT (Per Team)</t>
  </si>
  <si>
    <t>TOTAL INCOME</t>
  </si>
  <si>
    <t>STATUS</t>
  </si>
  <si>
    <t>Column 1</t>
  </si>
  <si>
    <t>Column 2</t>
  </si>
  <si>
    <t>Column 3</t>
  </si>
  <si>
    <t>Sponsorships</t>
  </si>
  <si>
    <t>EXPENSES</t>
  </si>
  <si>
    <t>NOTES</t>
  </si>
  <si>
    <t>Winner Prize Money</t>
  </si>
  <si>
    <t>Runner-up Prize</t>
  </si>
  <si>
    <t>Trophy/Medals Cost</t>
  </si>
  <si>
    <t>Ground Booking</t>
  </si>
  <si>
    <t>Ball/Equipment Cost</t>
  </si>
  <si>
    <t>(Total 23 balls)</t>
  </si>
  <si>
    <t>Umpire/Staff Fees</t>
  </si>
  <si>
    <t>NET PROFIT/LOSS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</si>
</sst>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theme="1"/>
      <name val="Roboto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1" fillId="0" fontId="2" numFmtId="0" xfId="0" applyAlignment="1" applyBorder="1" applyFont="1">
      <alignment vertical="bottom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2" fillId="2" fontId="4" numFmtId="0" xfId="0" applyAlignment="1" applyBorder="1" applyFill="1" applyFont="1">
      <alignment horizontal="right" shrinkToFit="0" vertical="center" wrapText="0"/>
    </xf>
    <xf borderId="3" fillId="2" fontId="4" numFmtId="0" xfId="0" applyAlignment="1" applyBorder="1" applyFont="1">
      <alignment horizontal="right" readingOrder="0" shrinkToFit="0" vertical="center" wrapText="0"/>
    </xf>
    <xf borderId="3" fillId="2" fontId="4" numFmtId="0" xfId="0" applyAlignment="1" applyBorder="1" applyFont="1">
      <alignment shrinkToFit="0" vertical="center" wrapText="0"/>
    </xf>
    <xf borderId="4" fillId="2" fontId="2" numFmtId="0" xfId="0" applyAlignment="1" applyBorder="1" applyFont="1">
      <alignment shrinkToFit="0" vertical="center" wrapText="0"/>
    </xf>
    <xf borderId="0" fillId="2" fontId="2" numFmtId="0" xfId="0" applyAlignment="1" applyFont="1">
      <alignment shrinkToFit="0" vertical="center" wrapText="0"/>
    </xf>
    <xf borderId="5" fillId="3" fontId="4" numFmtId="0" xfId="0" applyAlignment="1" applyBorder="1" applyFill="1" applyFont="1">
      <alignment shrinkToFit="0" vertical="center" wrapText="0"/>
    </xf>
    <xf borderId="6" fillId="3" fontId="4" numFmtId="0" xfId="0" applyAlignment="1" applyBorder="1" applyFont="1">
      <alignment readingOrder="0" shrinkToFit="0" vertical="center" wrapText="0"/>
    </xf>
    <xf borderId="6" fillId="3" fontId="4" numFmtId="0" xfId="0" applyAlignment="1" applyBorder="1" applyFont="1">
      <alignment shrinkToFit="0" vertical="center" wrapText="0"/>
    </xf>
    <xf borderId="7" fillId="3" fontId="2" numFmtId="0" xfId="0" applyAlignment="1" applyBorder="1" applyFont="1">
      <alignment shrinkToFit="0" vertical="center" wrapText="0"/>
    </xf>
    <xf borderId="0" fillId="3" fontId="2" numFmtId="0" xfId="0" applyAlignment="1" applyFont="1">
      <alignment shrinkToFit="0" vertical="center" wrapText="0"/>
    </xf>
    <xf borderId="2" fillId="2" fontId="4" numFmtId="0" xfId="0" applyAlignment="1" applyBorder="1" applyFont="1">
      <alignment shrinkToFit="0" vertical="center" wrapText="0"/>
    </xf>
    <xf borderId="3" fillId="2" fontId="4" numFmtId="0" xfId="0" applyAlignment="1" applyBorder="1" applyFont="1">
      <alignment readingOrder="0" shrinkToFit="0" vertical="center" wrapText="0"/>
    </xf>
    <xf borderId="4" fillId="2" fontId="4" numFmtId="0" xfId="0" applyAlignment="1" applyBorder="1" applyFont="1">
      <alignment shrinkToFit="0" vertical="center" wrapText="0"/>
    </xf>
    <xf borderId="0" fillId="2" fontId="4" numFmtId="0" xfId="0" applyAlignment="1" applyFont="1">
      <alignment shrinkToFit="0" vertical="center" wrapText="0"/>
    </xf>
    <xf borderId="6" fillId="3" fontId="2" numFmtId="0" xfId="0" applyAlignment="1" applyBorder="1" applyFont="1">
      <alignment shrinkToFit="0" vertical="center" wrapText="0"/>
    </xf>
    <xf borderId="3" fillId="2" fontId="2" numFmtId="0" xfId="0" applyAlignment="1" applyBorder="1" applyFont="1">
      <alignment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7" fillId="3" fontId="4" numFmtId="0" xfId="0" applyAlignment="1" applyBorder="1" applyFont="1">
      <alignment shrinkToFit="0" vertical="center" wrapText="0"/>
    </xf>
    <xf borderId="0" fillId="3" fontId="4" numFmtId="0" xfId="0" applyAlignment="1" applyFont="1">
      <alignment readingOrder="0" shrinkToFit="0" vertical="center" wrapText="0"/>
    </xf>
    <xf borderId="0" fillId="3" fontId="4" numFmtId="0" xfId="0" applyAlignment="1" applyFont="1">
      <alignment shrinkToFit="0" vertical="center" wrapText="0"/>
    </xf>
    <xf borderId="8" fillId="3" fontId="4" numFmtId="0" xfId="0" applyAlignment="1" applyBorder="1" applyFont="1">
      <alignment shrinkToFit="0" vertical="center" wrapText="0"/>
    </xf>
    <xf borderId="9" fillId="3" fontId="2" numFmtId="0" xfId="0" applyAlignment="1" applyBorder="1" applyFont="1">
      <alignment shrinkToFit="0" vertical="center" wrapText="0"/>
    </xf>
    <xf borderId="9" fillId="3" fontId="4" numFmtId="0" xfId="0" applyAlignment="1" applyBorder="1" applyFont="1">
      <alignment shrinkToFit="0" vertical="center" wrapText="0"/>
    </xf>
    <xf borderId="10" fillId="3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ennis Tournament Spreadsheet P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42:H52" displayName="Table1" name="Table1" id="1">
  <tableColumns count="7">
    <tableColumn name="INCOME SOURCE" id="1"/>
    <tableColumn name="AMOUNT (Per Team)" id="2"/>
    <tableColumn name="TOTAL INCOME" id="3"/>
    <tableColumn name="STATUS" id="4"/>
    <tableColumn name="Column 1" id="5"/>
    <tableColumn name="Column 2" id="6"/>
    <tableColumn name="Column 3" id="7"/>
  </tableColumns>
  <tableStyleInfo name="Tennis Tournament Spreadsheet 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5"/>
    <col customWidth="1" min="3" max="3" width="28.75"/>
    <col customWidth="1" min="5" max="5" width="13.75"/>
  </cols>
  <sheetData>
    <row r="1">
      <c r="A1" s="1"/>
      <c r="B1" s="1"/>
      <c r="C1" s="1"/>
      <c r="D1" s="1"/>
      <c r="E1" s="1"/>
      <c r="F1" s="1"/>
      <c r="G1" s="1"/>
      <c r="H1" s="1"/>
    </row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>
      <c r="A3" s="1">
        <v>1.0</v>
      </c>
      <c r="B3" s="1" t="s">
        <v>8</v>
      </c>
      <c r="C3" s="1" t="s">
        <v>9</v>
      </c>
      <c r="D3" s="1" t="s">
        <v>10</v>
      </c>
      <c r="E3" s="1" t="s">
        <v>11</v>
      </c>
      <c r="F3" s="2">
        <v>0.2916666666666667</v>
      </c>
      <c r="G3" s="1">
        <v>7.0</v>
      </c>
    </row>
    <row r="4">
      <c r="A4" s="1">
        <v>2.0</v>
      </c>
      <c r="B4" s="1" t="s">
        <v>8</v>
      </c>
      <c r="C4" s="1" t="s">
        <v>9</v>
      </c>
      <c r="D4" s="1" t="s">
        <v>12</v>
      </c>
      <c r="E4" s="1" t="s">
        <v>13</v>
      </c>
      <c r="F4" s="2">
        <v>0.3333333333333333</v>
      </c>
      <c r="G4" s="1">
        <v>7.0</v>
      </c>
    </row>
    <row r="5">
      <c r="A5" s="1">
        <v>3.0</v>
      </c>
      <c r="B5" s="1" t="s">
        <v>8</v>
      </c>
      <c r="C5" s="1" t="s">
        <v>14</v>
      </c>
      <c r="D5" s="1" t="s">
        <v>15</v>
      </c>
      <c r="E5" s="1" t="s">
        <v>16</v>
      </c>
      <c r="F5" s="2">
        <v>0.375</v>
      </c>
      <c r="G5" s="1">
        <v>7.0</v>
      </c>
    </row>
    <row r="6">
      <c r="A6" s="1">
        <v>4.0</v>
      </c>
      <c r="B6" s="1" t="s">
        <v>8</v>
      </c>
      <c r="C6" s="1" t="s">
        <v>14</v>
      </c>
      <c r="D6" s="1" t="s">
        <v>17</v>
      </c>
      <c r="E6" s="1" t="s">
        <v>18</v>
      </c>
      <c r="F6" s="2">
        <v>0.4166666666666667</v>
      </c>
      <c r="G6" s="1">
        <v>7.0</v>
      </c>
    </row>
    <row r="7">
      <c r="A7" s="1">
        <v>5.0</v>
      </c>
      <c r="B7" s="1" t="s">
        <v>8</v>
      </c>
      <c r="C7" s="1" t="s">
        <v>19</v>
      </c>
      <c r="D7" s="1" t="s">
        <v>20</v>
      </c>
      <c r="E7" s="1" t="s">
        <v>21</v>
      </c>
      <c r="F7" s="2">
        <v>0.4583333333333333</v>
      </c>
      <c r="G7" s="1">
        <v>7.0</v>
      </c>
    </row>
    <row r="8">
      <c r="A8" s="1">
        <v>6.0</v>
      </c>
      <c r="B8" s="1" t="s">
        <v>8</v>
      </c>
      <c r="C8" s="1" t="s">
        <v>19</v>
      </c>
      <c r="D8" s="1" t="s">
        <v>22</v>
      </c>
      <c r="E8" s="1" t="s">
        <v>23</v>
      </c>
      <c r="F8" s="2">
        <v>0.5</v>
      </c>
      <c r="G8" s="1">
        <v>7.0</v>
      </c>
    </row>
    <row r="9">
      <c r="A9" s="1">
        <v>7.0</v>
      </c>
      <c r="B9" s="1" t="s">
        <v>8</v>
      </c>
      <c r="C9" s="1" t="s">
        <v>24</v>
      </c>
      <c r="D9" s="1" t="s">
        <v>25</v>
      </c>
      <c r="E9" s="1" t="s">
        <v>26</v>
      </c>
      <c r="F9" s="2">
        <v>0.5416666666666666</v>
      </c>
      <c r="G9" s="1">
        <v>7.0</v>
      </c>
    </row>
    <row r="10">
      <c r="A10" s="1">
        <v>8.0</v>
      </c>
      <c r="B10" s="1" t="s">
        <v>8</v>
      </c>
      <c r="C10" s="1" t="s">
        <v>24</v>
      </c>
      <c r="D10" s="1" t="s">
        <v>27</v>
      </c>
      <c r="E10" s="1" t="s">
        <v>28</v>
      </c>
      <c r="F10" s="2">
        <v>0.5833333333333334</v>
      </c>
      <c r="G10" s="1">
        <v>7.0</v>
      </c>
    </row>
    <row r="11">
      <c r="A11" s="1">
        <v>9.0</v>
      </c>
      <c r="B11" s="1" t="s">
        <v>8</v>
      </c>
      <c r="C11" s="1" t="s">
        <v>9</v>
      </c>
      <c r="D11" s="1" t="s">
        <v>10</v>
      </c>
      <c r="E11" s="1" t="s">
        <v>12</v>
      </c>
      <c r="F11" s="2">
        <v>0.625</v>
      </c>
      <c r="G11" s="1">
        <v>7.0</v>
      </c>
    </row>
    <row r="12">
      <c r="A12" s="1">
        <v>10.0</v>
      </c>
      <c r="B12" s="1" t="s">
        <v>8</v>
      </c>
      <c r="C12" s="1" t="s">
        <v>9</v>
      </c>
      <c r="D12" s="1" t="s">
        <v>11</v>
      </c>
      <c r="E12" s="1" t="s">
        <v>13</v>
      </c>
      <c r="F12" s="2">
        <v>0.6666666666666666</v>
      </c>
      <c r="G12" s="1">
        <v>7.0</v>
      </c>
    </row>
    <row r="13">
      <c r="A13" s="1">
        <v>11.0</v>
      </c>
      <c r="B13" s="1" t="s">
        <v>8</v>
      </c>
      <c r="C13" s="1" t="s">
        <v>14</v>
      </c>
      <c r="D13" s="1" t="s">
        <v>15</v>
      </c>
      <c r="E13" s="1" t="s">
        <v>17</v>
      </c>
      <c r="F13" s="2">
        <v>0.7083333333333334</v>
      </c>
      <c r="G13" s="1">
        <v>7.0</v>
      </c>
    </row>
    <row r="14">
      <c r="A14" s="1">
        <v>12.0</v>
      </c>
      <c r="B14" s="1" t="s">
        <v>8</v>
      </c>
      <c r="C14" s="1" t="s">
        <v>14</v>
      </c>
      <c r="D14" s="1" t="s">
        <v>16</v>
      </c>
      <c r="E14" s="1" t="s">
        <v>18</v>
      </c>
      <c r="F14" s="2">
        <v>0.75</v>
      </c>
      <c r="G14" s="1">
        <v>7.0</v>
      </c>
    </row>
    <row r="15">
      <c r="A15" s="1">
        <v>13.0</v>
      </c>
      <c r="B15" s="1" t="s">
        <v>8</v>
      </c>
      <c r="C15" s="1" t="s">
        <v>19</v>
      </c>
      <c r="D15" s="1" t="s">
        <v>20</v>
      </c>
      <c r="E15" s="1" t="s">
        <v>22</v>
      </c>
      <c r="F15" s="2">
        <v>0.7916666666666666</v>
      </c>
      <c r="G15" s="1">
        <v>7.0</v>
      </c>
    </row>
    <row r="16">
      <c r="A16" s="1">
        <v>14.0</v>
      </c>
      <c r="B16" s="1" t="s">
        <v>8</v>
      </c>
      <c r="C16" s="1" t="s">
        <v>19</v>
      </c>
      <c r="D16" s="1" t="s">
        <v>21</v>
      </c>
      <c r="E16" s="1" t="s">
        <v>23</v>
      </c>
      <c r="F16" s="2">
        <v>0.8333333333333334</v>
      </c>
      <c r="G16" s="1">
        <v>7.0</v>
      </c>
    </row>
    <row r="17">
      <c r="A17" s="1">
        <v>15.0</v>
      </c>
      <c r="B17" s="1" t="s">
        <v>8</v>
      </c>
      <c r="C17" s="1" t="s">
        <v>24</v>
      </c>
      <c r="D17" s="1" t="s">
        <v>25</v>
      </c>
      <c r="E17" s="1" t="s">
        <v>27</v>
      </c>
      <c r="F17" s="2">
        <v>0.875</v>
      </c>
      <c r="G17" s="1">
        <v>7.0</v>
      </c>
    </row>
    <row r="18">
      <c r="A18" s="1">
        <v>16.0</v>
      </c>
      <c r="B18" s="1" t="s">
        <v>8</v>
      </c>
      <c r="C18" s="1" t="s">
        <v>24</v>
      </c>
      <c r="D18" s="1" t="s">
        <v>26</v>
      </c>
      <c r="E18" s="1" t="s">
        <v>28</v>
      </c>
      <c r="F18" s="2">
        <v>0.9166666666666666</v>
      </c>
      <c r="G18" s="1">
        <v>7.0</v>
      </c>
    </row>
    <row r="19">
      <c r="A19" s="1" t="s">
        <v>29</v>
      </c>
      <c r="B19" s="1" t="s">
        <v>29</v>
      </c>
      <c r="C19" s="1" t="s">
        <v>29</v>
      </c>
      <c r="D19" s="1" t="s">
        <v>29</v>
      </c>
      <c r="E19" s="1" t="s">
        <v>29</v>
      </c>
      <c r="F19" s="1" t="s">
        <v>29</v>
      </c>
      <c r="G19" s="1" t="s">
        <v>29</v>
      </c>
      <c r="H19" s="1" t="s">
        <v>29</v>
      </c>
    </row>
    <row r="20">
      <c r="A20" s="1">
        <v>17.0</v>
      </c>
      <c r="B20" s="1" t="s">
        <v>30</v>
      </c>
      <c r="C20" s="1" t="s">
        <v>31</v>
      </c>
      <c r="D20" s="1" t="s">
        <v>32</v>
      </c>
      <c r="E20" s="1" t="s">
        <v>33</v>
      </c>
      <c r="F20" s="1" t="s">
        <v>34</v>
      </c>
      <c r="G20" s="1">
        <v>7.0</v>
      </c>
    </row>
    <row r="21">
      <c r="A21" s="1">
        <v>18.0</v>
      </c>
      <c r="B21" s="1" t="s">
        <v>35</v>
      </c>
      <c r="C21" s="1" t="s">
        <v>31</v>
      </c>
      <c r="D21" s="1" t="s">
        <v>36</v>
      </c>
      <c r="E21" s="1" t="s">
        <v>37</v>
      </c>
      <c r="F21" s="1" t="s">
        <v>38</v>
      </c>
      <c r="G21" s="1">
        <v>7.0</v>
      </c>
    </row>
    <row r="22">
      <c r="A22" s="1">
        <v>19.0</v>
      </c>
      <c r="B22" s="1" t="s">
        <v>39</v>
      </c>
      <c r="C22" s="1" t="s">
        <v>31</v>
      </c>
      <c r="D22" s="1" t="s">
        <v>40</v>
      </c>
      <c r="E22" s="1" t="s">
        <v>41</v>
      </c>
      <c r="F22" s="1" t="s">
        <v>42</v>
      </c>
      <c r="G22" s="1">
        <v>7.0</v>
      </c>
    </row>
    <row r="23">
      <c r="A23" s="1">
        <v>20.0</v>
      </c>
      <c r="B23" s="1" t="s">
        <v>43</v>
      </c>
      <c r="C23" s="1" t="s">
        <v>31</v>
      </c>
      <c r="D23" s="1" t="s">
        <v>44</v>
      </c>
      <c r="E23" s="1" t="s">
        <v>45</v>
      </c>
      <c r="F23" s="1" t="s">
        <v>46</v>
      </c>
      <c r="G23" s="1">
        <v>7.0</v>
      </c>
    </row>
    <row r="24">
      <c r="A24" s="1">
        <v>21.0</v>
      </c>
      <c r="B24" s="1" t="s">
        <v>47</v>
      </c>
      <c r="C24" s="1" t="s">
        <v>48</v>
      </c>
      <c r="D24" s="1" t="s">
        <v>49</v>
      </c>
      <c r="E24" s="1" t="s">
        <v>50</v>
      </c>
      <c r="F24" s="1" t="s">
        <v>51</v>
      </c>
      <c r="G24" s="1">
        <v>7.0</v>
      </c>
    </row>
    <row r="25">
      <c r="A25" s="1">
        <v>22.0</v>
      </c>
      <c r="B25" s="1" t="s">
        <v>52</v>
      </c>
      <c r="C25" s="1" t="s">
        <v>48</v>
      </c>
      <c r="D25" s="1" t="s">
        <v>53</v>
      </c>
      <c r="E25" s="1" t="s">
        <v>54</v>
      </c>
      <c r="F25" s="1" t="s">
        <v>55</v>
      </c>
      <c r="G25" s="1">
        <v>7.0</v>
      </c>
    </row>
    <row r="26">
      <c r="A26" s="1">
        <v>23.0</v>
      </c>
      <c r="B26" s="1" t="s">
        <v>56</v>
      </c>
      <c r="C26" s="1" t="s">
        <v>56</v>
      </c>
      <c r="D26" s="1" t="s">
        <v>57</v>
      </c>
      <c r="E26" s="1" t="s">
        <v>58</v>
      </c>
      <c r="F26" s="1" t="s">
        <v>59</v>
      </c>
      <c r="G26" s="1">
        <v>7.0</v>
      </c>
    </row>
    <row r="30">
      <c r="B30" s="3" t="s">
        <v>60</v>
      </c>
      <c r="C30" s="3" t="s">
        <v>61</v>
      </c>
    </row>
    <row r="31">
      <c r="B31" s="3" t="s">
        <v>62</v>
      </c>
      <c r="C31" s="3" t="s">
        <v>63</v>
      </c>
    </row>
    <row r="32">
      <c r="B32" s="3" t="s">
        <v>64</v>
      </c>
      <c r="C32" s="3" t="s">
        <v>65</v>
      </c>
    </row>
    <row r="33">
      <c r="B33" s="3" t="s">
        <v>66</v>
      </c>
      <c r="C33" s="3" t="s">
        <v>67</v>
      </c>
    </row>
    <row r="34">
      <c r="B34" s="3" t="s">
        <v>68</v>
      </c>
      <c r="C34" s="3" t="s">
        <v>69</v>
      </c>
    </row>
    <row r="35">
      <c r="B35" s="3" t="s">
        <v>70</v>
      </c>
      <c r="C35" s="3" t="s">
        <v>71</v>
      </c>
    </row>
    <row r="36">
      <c r="B36" s="3" t="s">
        <v>72</v>
      </c>
      <c r="C36" s="3" t="s">
        <v>73</v>
      </c>
    </row>
    <row r="37">
      <c r="B37" s="3" t="s">
        <v>74</v>
      </c>
      <c r="C37" s="3" t="s">
        <v>75</v>
      </c>
    </row>
    <row r="42" ht="22.5" customHeight="1">
      <c r="B42" s="4" t="s">
        <v>76</v>
      </c>
      <c r="C42" s="4" t="s">
        <v>77</v>
      </c>
      <c r="D42" s="4" t="s">
        <v>78</v>
      </c>
      <c r="E42" s="4" t="s">
        <v>79</v>
      </c>
      <c r="F42" s="5" t="s">
        <v>80</v>
      </c>
      <c r="G42" s="5" t="s">
        <v>81</v>
      </c>
      <c r="H42" s="5" t="s">
        <v>82</v>
      </c>
    </row>
    <row r="43" ht="22.5" customHeight="1">
      <c r="B43" s="6">
        <v>16.0</v>
      </c>
      <c r="C43" s="7">
        <v>5500.0</v>
      </c>
      <c r="D43" s="8">
        <f>B43*C43</f>
        <v>88000</v>
      </c>
      <c r="E43" s="9"/>
      <c r="F43" s="10"/>
      <c r="G43" s="10"/>
      <c r="H43" s="10"/>
    </row>
    <row r="44" ht="22.5" customHeight="1">
      <c r="B44" s="11" t="s">
        <v>83</v>
      </c>
      <c r="C44" s="12">
        <v>0.0</v>
      </c>
      <c r="D44" s="13">
        <f t="shared" ref="D44:D51" si="1">(C44)</f>
        <v>0</v>
      </c>
      <c r="E44" s="14"/>
      <c r="F44" s="15"/>
      <c r="G44" s="15"/>
      <c r="H44" s="15"/>
    </row>
    <row r="45" ht="22.5" customHeight="1">
      <c r="B45" s="16" t="s">
        <v>84</v>
      </c>
      <c r="C45" s="17">
        <v>0.0</v>
      </c>
      <c r="D45" s="8">
        <f t="shared" si="1"/>
        <v>0</v>
      </c>
      <c r="E45" s="18" t="s">
        <v>85</v>
      </c>
      <c r="F45" s="19"/>
      <c r="G45" s="19"/>
      <c r="H45" s="19"/>
    </row>
    <row r="46" ht="22.5" customHeight="1">
      <c r="B46" s="11" t="s">
        <v>86</v>
      </c>
      <c r="C46" s="12">
        <v>20000.0</v>
      </c>
      <c r="D46" s="20">
        <f t="shared" si="1"/>
        <v>20000</v>
      </c>
      <c r="E46" s="14"/>
      <c r="F46" s="15"/>
      <c r="G46" s="15"/>
      <c r="H46" s="15"/>
    </row>
    <row r="47" ht="22.5" customHeight="1">
      <c r="B47" s="16" t="s">
        <v>87</v>
      </c>
      <c r="C47" s="17">
        <v>10000.0</v>
      </c>
      <c r="D47" s="21">
        <f t="shared" si="1"/>
        <v>10000</v>
      </c>
      <c r="E47" s="9"/>
      <c r="F47" s="10"/>
      <c r="G47" s="10"/>
      <c r="H47" s="10"/>
    </row>
    <row r="48" ht="22.5" customHeight="1">
      <c r="B48" s="11" t="s">
        <v>88</v>
      </c>
      <c r="C48" s="12">
        <v>3000.0</v>
      </c>
      <c r="D48" s="20">
        <f t="shared" si="1"/>
        <v>3000</v>
      </c>
      <c r="E48" s="14"/>
      <c r="F48" s="15"/>
      <c r="G48" s="15"/>
      <c r="H48" s="15"/>
    </row>
    <row r="49" ht="22.5" customHeight="1">
      <c r="B49" s="16" t="s">
        <v>89</v>
      </c>
      <c r="C49" s="8">
        <f>(H49+H50)</f>
        <v>39500</v>
      </c>
      <c r="D49" s="21">
        <f t="shared" si="1"/>
        <v>39500</v>
      </c>
      <c r="E49" s="9"/>
      <c r="F49" s="22">
        <v>21.0</v>
      </c>
      <c r="G49" s="22">
        <v>1500.0</v>
      </c>
      <c r="H49" s="23">
        <f t="shared" ref="H49:H50" si="2">(F49*G49)</f>
        <v>31500</v>
      </c>
    </row>
    <row r="50" ht="22.5" customHeight="1">
      <c r="B50" s="11" t="s">
        <v>90</v>
      </c>
      <c r="C50" s="12">
        <v>3000.0</v>
      </c>
      <c r="D50" s="20">
        <f t="shared" si="1"/>
        <v>3000</v>
      </c>
      <c r="E50" s="24" t="s">
        <v>91</v>
      </c>
      <c r="F50" s="25">
        <v>4.0</v>
      </c>
      <c r="G50" s="25">
        <v>2000.0</v>
      </c>
      <c r="H50" s="26">
        <f t="shared" si="2"/>
        <v>8000</v>
      </c>
    </row>
    <row r="51" ht="22.5" customHeight="1">
      <c r="B51" s="16" t="s">
        <v>92</v>
      </c>
      <c r="C51" s="17">
        <v>3000.0</v>
      </c>
      <c r="D51" s="21">
        <f t="shared" si="1"/>
        <v>3000</v>
      </c>
      <c r="E51" s="9"/>
      <c r="F51" s="10"/>
      <c r="G51" s="10"/>
      <c r="H51" s="10"/>
    </row>
    <row r="52" ht="22.5" customHeight="1">
      <c r="B52" s="27" t="s">
        <v>93</v>
      </c>
      <c r="C52" s="28"/>
      <c r="D52" s="29">
        <f>((D43+D44)-(D46+D47+D48+D49+D50+D51))</f>
        <v>9500</v>
      </c>
      <c r="E52" s="30"/>
      <c r="F52" s="15"/>
      <c r="G52" s="15"/>
      <c r="H52" s="15"/>
    </row>
  </sheetData>
  <drawing r:id="rId1"/>
  <tableParts count="1">
    <tablePart r:id="rId3"/>
  </tableParts>
</worksheet>
</file>